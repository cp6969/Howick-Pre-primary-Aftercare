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 &amp; Settings" sheetId="1" state="visible" r:id="rId1"/>
    <sheet name="Daily Log" sheetId="2" state="visible" r:id="rId2"/>
    <sheet name="Billing Summary" sheetId="3" state="visible" r:id="rId3"/>
    <sheet name="Invo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&quot;#,##0.00"/>
    <numFmt numFmtId="165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1F5B4E"/>
      <sz val="16"/>
    </font>
    <font>
      <name val="Arial"/>
      <i val="1"/>
      <color rgb="00565A4E"/>
      <sz val="10"/>
    </font>
    <font>
      <name val="Arial"/>
      <b val="1"/>
      <color rgb="00FFFFFF"/>
      <sz val="10"/>
    </font>
    <font>
      <name val="Arial"/>
      <color rgb="0020241F"/>
      <sz val="10"/>
    </font>
    <font>
      <name val="Arial"/>
      <color rgb="000000FF"/>
      <sz val="10"/>
    </font>
    <font>
      <name val="Arial"/>
      <i val="1"/>
      <color rgb="0083877A"/>
      <sz val="8"/>
    </font>
    <font>
      <name val="Arial"/>
      <b val="1"/>
      <color rgb="0020241F"/>
      <sz val="10"/>
    </font>
    <font>
      <name val="Arial"/>
      <b val="1"/>
      <color rgb="001F5B4E"/>
      <sz val="18"/>
    </font>
    <font>
      <name val="Arial"/>
      <i val="1"/>
      <color rgb="00565A4E"/>
      <sz val="11"/>
    </font>
    <font>
      <name val="Arial"/>
      <b val="1"/>
      <color rgb="00565A4E"/>
      <sz val="9"/>
    </font>
    <font>
      <name val="Arial"/>
      <b val="1"/>
      <color rgb="001F5B4E"/>
      <sz val="12"/>
    </font>
  </fonts>
  <fills count="6">
    <fill>
      <patternFill/>
    </fill>
    <fill>
      <patternFill patternType="gray125"/>
    </fill>
    <fill>
      <patternFill patternType="solid">
        <fgColor rgb="001F5B4E"/>
      </patternFill>
    </fill>
    <fill>
      <patternFill patternType="solid">
        <fgColor rgb="00FFFF00"/>
      </patternFill>
    </fill>
    <fill>
      <patternFill patternType="solid">
        <fgColor rgb="00F2F2EA"/>
      </patternFill>
    </fill>
    <fill>
      <patternFill patternType="solid">
        <fgColor rgb="00DCEAE4"/>
      </patternFill>
    </fill>
  </fills>
  <borders count="3">
    <border>
      <left/>
      <right/>
      <top/>
      <bottom/>
      <diagonal/>
    </border>
    <border>
      <left style="thin">
        <color rgb="00D7D3C5"/>
      </left>
      <right style="thin">
        <color rgb="00D7D3C5"/>
      </right>
      <top style="thin">
        <color rgb="00D7D3C5"/>
      </top>
      <bottom style="thin">
        <color rgb="00D7D3C5"/>
      </bottom>
    </border>
    <border>
      <top style="double">
        <color rgb="0020241F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164" fontId="5" fillId="3" borderId="1" pivotButton="0" quotePrefix="0" xfId="0"/>
    <xf numFmtId="0" fontId="6" fillId="0" borderId="1" pivotButton="0" quotePrefix="0" xfId="0"/>
    <xf numFmtId="0" fontId="5" fillId="3" borderId="1" pivotButton="0" quotePrefix="0" xfId="0"/>
    <xf numFmtId="20" fontId="5" fillId="3" borderId="1" pivotButton="0" quotePrefix="0" xfId="0"/>
    <xf numFmtId="165" fontId="5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pivotButton="0" quotePrefix="0" xfId="0"/>
    <xf numFmtId="18" fontId="4" fillId="0" borderId="1" pivotButton="0" quotePrefix="0" xfId="0"/>
    <xf numFmtId="2" fontId="4" fillId="0" borderId="1" pivotButton="0" quotePrefix="0" xfId="0"/>
    <xf numFmtId="165" fontId="4" fillId="4" borderId="1" pivotButton="0" quotePrefix="0" xfId="0"/>
    <xf numFmtId="0" fontId="4" fillId="4" borderId="1" pivotButton="0" quotePrefix="0" xfId="0"/>
    <xf numFmtId="18" fontId="4" fillId="4" borderId="1" pivotButton="0" quotePrefix="0" xfId="0"/>
    <xf numFmtId="2" fontId="4" fillId="4" borderId="1" pivotButton="0" quotePrefix="0" xfId="0"/>
    <xf numFmtId="164" fontId="4" fillId="0" borderId="1" pivotButton="0" quotePrefix="0" xfId="0"/>
    <xf numFmtId="164" fontId="4" fillId="4" borderId="1" pivotButton="0" quotePrefix="0" xfId="0"/>
    <xf numFmtId="0" fontId="7" fillId="5" borderId="2" pivotButton="0" quotePrefix="0" xfId="0"/>
    <xf numFmtId="0" fontId="0" fillId="5" borderId="2" pivotButton="0" quotePrefix="0" xfId="0"/>
    <xf numFmtId="2" fontId="7" fillId="5" borderId="2" pivotButton="0" quotePrefix="0" xfId="0"/>
    <xf numFmtId="164" fontId="7" fillId="5" borderId="2" pivotButton="0" quotePrefix="0" xfId="0"/>
    <xf numFmtId="0" fontId="6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65" fontId="4" fillId="0" borderId="0" pivotButton="0" quotePrefix="0" xfId="0"/>
    <xf numFmtId="0" fontId="9" fillId="0" borderId="0" pivotButton="0" quotePrefix="0" xfId="0"/>
    <xf numFmtId="0" fontId="5" fillId="3" borderId="0" pivotButton="0" quotePrefix="0" xfId="0"/>
    <xf numFmtId="0" fontId="4" fillId="0" borderId="0" pivotButton="0" quotePrefix="0" xfId="0"/>
    <xf numFmtId="0" fontId="7" fillId="5" borderId="0" applyAlignment="1" pivotButton="0" quotePrefix="0" xfId="0">
      <alignment horizontal="right"/>
    </xf>
    <xf numFmtId="164" fontId="11" fillId="5" borderId="0" pivotButton="0" quotePrefix="0" xfId="0"/>
  </cellXfs>
  <cellStyles count="1">
    <cellStyle name="Normal" xfId="0" builtinId="0" hidden="0"/>
  </cellStyles>
  <dxfs count="1">
    <dxf>
      <font>
        <b val="1"/>
        <color rgb="00A0332C"/>
      </font>
      <fill>
        <patternFill patternType="solid">
          <fgColor rgb="00F6E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0" customWidth="1" min="4" max="4"/>
  </cols>
  <sheetData>
    <row r="1">
      <c r="A1" s="1" t="inlineStr">
        <is>
          <t>Howick Pre-Primary School — Billing Settings</t>
        </is>
      </c>
    </row>
    <row r="2">
      <c r="A2" s="2" t="inlineStr">
        <is>
          <t>Edit the blue cells to match your program. Every formula in this workbook reads from here.</t>
        </is>
      </c>
    </row>
    <row r="4">
      <c r="A4" s="3" t="inlineStr">
        <is>
          <t>Setting</t>
        </is>
      </c>
      <c r="B4" s="3" t="inlineStr">
        <is>
          <t>Value</t>
        </is>
      </c>
      <c r="C4" s="3" t="inlineStr">
        <is>
          <t>Notes</t>
        </is>
      </c>
      <c r="D4" s="4" t="n"/>
    </row>
    <row r="5">
      <c r="A5" s="5" t="inlineStr">
        <is>
          <t>Hourly rate (R / hour)</t>
        </is>
      </c>
      <c r="B5" s="6" t="n">
        <v>45</v>
      </c>
      <c r="C5" s="7" t="inlineStr">
        <is>
          <t>Charged per child per hour of attendance.</t>
        </is>
      </c>
      <c r="D5" s="4" t="n"/>
    </row>
    <row r="6">
      <c r="A6" s="5" t="inlineStr">
        <is>
          <t>Daily minimum billed hours</t>
        </is>
      </c>
      <c r="B6" s="8" t="n">
        <v>1</v>
      </c>
      <c r="C6" s="7" t="inlineStr">
        <is>
          <t>Even a short stay is billed at least this many hours.</t>
        </is>
      </c>
      <c r="D6" s="4" t="n"/>
    </row>
    <row r="7">
      <c r="A7" s="5" t="inlineStr">
        <is>
          <t>Standard collection cutoff</t>
        </is>
      </c>
      <c r="B7" s="9" t="n">
        <v>0.7291666666666666</v>
      </c>
      <c r="C7" s="7" t="inlineStr">
        <is>
          <t>Pickups after this time are flagged Late on the Daily Log.</t>
        </is>
      </c>
      <c r="D7" s="4" t="n"/>
    </row>
    <row r="8">
      <c r="A8" s="5" t="inlineStr">
        <is>
          <t>Late fee per 15 min block (R)</t>
        </is>
      </c>
      <c r="B8" s="6" t="n">
        <v>25</v>
      </c>
      <c r="C8" s="7" t="inlineStr">
        <is>
          <t>Charged for each 15-minute block (or part thereof) past the cutoff.</t>
        </is>
      </c>
      <c r="D8" s="4" t="n"/>
    </row>
    <row r="9">
      <c r="A9" s="5" t="inlineStr">
        <is>
          <t>Currency symbol</t>
        </is>
      </c>
      <c r="B9" s="8" t="inlineStr">
        <is>
          <t>R</t>
        </is>
      </c>
      <c r="C9" s="7" t="inlineStr">
        <is>
          <t>Used only as a label — number formats below are fixed to Rand-style grouping.</t>
        </is>
      </c>
      <c r="D9" s="4" t="n"/>
    </row>
    <row r="11">
      <c r="A11" s="3" t="inlineStr">
        <is>
          <t>Billing period</t>
        </is>
      </c>
      <c r="B11" s="4" t="n"/>
      <c r="C11" s="4" t="n"/>
      <c r="D11" s="4" t="n"/>
    </row>
    <row r="12">
      <c r="A12" s="5" t="inlineStr">
        <is>
          <t>Period start date</t>
        </is>
      </c>
      <c r="B12" s="10" t="n">
        <v>46237</v>
      </c>
      <c r="C12" s="7" t="inlineStr">
        <is>
          <t>First day of the invoicing period (inclusive).</t>
        </is>
      </c>
      <c r="D12" s="4" t="n"/>
    </row>
    <row r="13">
      <c r="A13" s="5" t="inlineStr">
        <is>
          <t>Period end date</t>
        </is>
      </c>
      <c r="B13" s="10" t="n">
        <v>46241</v>
      </c>
      <c r="C13" s="7" t="inlineStr">
        <is>
          <t>Last day of the invoicing period (inclusive).</t>
        </is>
      </c>
      <c r="D13" s="4" t="n"/>
    </row>
  </sheetData>
  <mergeCells count="11">
    <mergeCell ref="A1:D1"/>
    <mergeCell ref="C12:D12"/>
    <mergeCell ref="C6:D6"/>
    <mergeCell ref="C7:D7"/>
    <mergeCell ref="A11:D11"/>
    <mergeCell ref="C5:D5"/>
    <mergeCell ref="C13:D13"/>
    <mergeCell ref="A2:D2"/>
    <mergeCell ref="C9:D9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13" customWidth="1" min="5" max="5"/>
    <col width="15" customWidth="1" min="6" max="6"/>
    <col width="13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Daily Sign-In / Sign-Out Log</t>
        </is>
      </c>
    </row>
    <row r="2">
      <c r="A2" s="2" t="inlineStr">
        <is>
          <t>One row per child per day. Add rows as new attendance is recorded — every formula below extends automatically when you fill a new row.</t>
        </is>
      </c>
    </row>
    <row r="4">
      <c r="A4" s="11" t="inlineStr">
        <is>
          <t>Date</t>
        </is>
      </c>
      <c r="B4" s="11" t="inlineStr">
        <is>
          <t>Child Name</t>
        </is>
      </c>
      <c r="C4" s="11" t="inlineStr">
        <is>
          <t>Group</t>
        </is>
      </c>
      <c r="D4" s="11" t="inlineStr">
        <is>
          <t>Parent / Guardian</t>
        </is>
      </c>
      <c r="E4" s="11" t="inlineStr">
        <is>
          <t>Arrival Time</t>
        </is>
      </c>
      <c r="F4" s="11" t="inlineStr">
        <is>
          <t>Collection Time</t>
        </is>
      </c>
      <c r="G4" s="11" t="inlineStr">
        <is>
          <t>Duration (hrs)</t>
        </is>
      </c>
      <c r="H4" s="11" t="inlineStr">
        <is>
          <t>Billed Hours</t>
        </is>
      </c>
      <c r="I4" s="11" t="inlineStr">
        <is>
          <t>Late Pickup?</t>
        </is>
      </c>
      <c r="J4" s="11" t="inlineStr">
        <is>
          <t>Notes</t>
        </is>
      </c>
    </row>
    <row r="5">
      <c r="A5" s="12" t="n">
        <v>46237</v>
      </c>
      <c r="B5" s="5" t="inlineStr">
        <is>
          <t>Amara Mokoena</t>
        </is>
      </c>
      <c r="C5" s="5" t="inlineStr">
        <is>
          <t>Ducklings</t>
        </is>
      </c>
      <c r="D5" s="5" t="inlineStr">
        <is>
          <t>T. Mokoena</t>
        </is>
      </c>
      <c r="E5" s="13" t="n">
        <v>0.5451388888888888</v>
      </c>
      <c r="F5" s="13" t="n">
        <v>0.6944444444444444</v>
      </c>
      <c r="G5" s="14">
        <f>(F5-E5)*24</f>
        <v/>
      </c>
      <c r="H5" s="14">
        <f>MAX(G5,'Rates &amp; Settings'!$B$6)</f>
        <v/>
      </c>
      <c r="I5" s="5">
        <f>IF(F5&gt;'Rates &amp; Settings'!$B$7,"Late","")</f>
        <v/>
      </c>
      <c r="J5" s="5" t="inlineStr"/>
    </row>
    <row r="6">
      <c r="A6" s="15" t="n">
        <v>46237</v>
      </c>
      <c r="B6" s="16" t="inlineStr">
        <is>
          <t>Jonah van Wyk</t>
        </is>
      </c>
      <c r="C6" s="16" t="inlineStr">
        <is>
          <t>Foxes</t>
        </is>
      </c>
      <c r="D6" s="16" t="inlineStr">
        <is>
          <t>L. van Wyk</t>
        </is>
      </c>
      <c r="E6" s="17" t="n">
        <v>0.55</v>
      </c>
      <c r="F6" s="17" t="n">
        <v>0.7444444444444445</v>
      </c>
      <c r="G6" s="18">
        <f>(F6-E6)*24</f>
        <v/>
      </c>
      <c r="H6" s="18">
        <f>MAX(G6,'Rates &amp; Settings'!$B$6)</f>
        <v/>
      </c>
      <c r="I6" s="16">
        <f>IF(F6&gt;'Rates &amp; Settings'!$B$7,"Late","")</f>
        <v/>
      </c>
      <c r="J6" s="16" t="inlineStr"/>
    </row>
    <row r="7">
      <c r="A7" s="12" t="n">
        <v>46237</v>
      </c>
      <c r="B7" s="5" t="inlineStr">
        <is>
          <t>Thandi Nkosi</t>
        </is>
      </c>
      <c r="C7" s="5" t="inlineStr">
        <is>
          <t>Badgers</t>
        </is>
      </c>
      <c r="D7" s="5" t="inlineStr">
        <is>
          <t>S. Nkosi</t>
        </is>
      </c>
      <c r="E7" s="13" t="n">
        <v>0.5555555555555556</v>
      </c>
      <c r="F7" s="13" t="n">
        <v>0.6993055555555555</v>
      </c>
      <c r="G7" s="14">
        <f>(F7-E7)*24</f>
        <v/>
      </c>
      <c r="H7" s="14">
        <f>MAX(G7,'Rates &amp; Settings'!$B$6)</f>
        <v/>
      </c>
      <c r="I7" s="5">
        <f>IF(F7&gt;'Rates &amp; Settings'!$B$7,"Late","")</f>
        <v/>
      </c>
      <c r="J7" s="5" t="inlineStr"/>
    </row>
    <row r="8">
      <c r="A8" s="15" t="n">
        <v>46237</v>
      </c>
      <c r="B8" s="16" t="inlineStr">
        <is>
          <t>Ruan Pretorius</t>
        </is>
      </c>
      <c r="C8" s="16" t="inlineStr">
        <is>
          <t>Ducklings</t>
        </is>
      </c>
      <c r="D8" s="16" t="inlineStr">
        <is>
          <t>M. Pretorius</t>
        </is>
      </c>
      <c r="E8" s="17" t="n">
        <v>0.5652777777777778</v>
      </c>
      <c r="F8" s="17" t="n">
        <v>0.7118055555555556</v>
      </c>
      <c r="G8" s="18">
        <f>(F8-E8)*24</f>
        <v/>
      </c>
      <c r="H8" s="18">
        <f>MAX(G8,'Rates &amp; Settings'!$B$6)</f>
        <v/>
      </c>
      <c r="I8" s="16">
        <f>IF(F8&gt;'Rates &amp; Settings'!$B$7,"Late","")</f>
        <v/>
      </c>
      <c r="J8" s="16" t="inlineStr"/>
    </row>
    <row r="9">
      <c r="A9" s="12" t="n">
        <v>46237</v>
      </c>
      <c r="B9" s="5" t="inlineStr">
        <is>
          <t>Liam Botha</t>
        </is>
      </c>
      <c r="C9" s="5" t="inlineStr">
        <is>
          <t>Badgers</t>
        </is>
      </c>
      <c r="D9" s="5" t="inlineStr">
        <is>
          <t>K. Botha</t>
        </is>
      </c>
      <c r="E9" s="13" t="n">
        <v>0.5763888888888888</v>
      </c>
      <c r="F9" s="13" t="n">
        <v>0.7069444444444445</v>
      </c>
      <c r="G9" s="14">
        <f>(F9-E9)*24</f>
        <v/>
      </c>
      <c r="H9" s="14">
        <f>MAX(G9,'Rates &amp; Settings'!$B$6)</f>
        <v/>
      </c>
      <c r="I9" s="5">
        <f>IF(F9&gt;'Rates &amp; Settings'!$B$7,"Late","")</f>
        <v/>
      </c>
      <c r="J9" s="5" t="inlineStr"/>
    </row>
    <row r="10">
      <c r="A10" s="15" t="n">
        <v>46238</v>
      </c>
      <c r="B10" s="16" t="inlineStr">
        <is>
          <t>Amara Mokoena</t>
        </is>
      </c>
      <c r="C10" s="16" t="inlineStr">
        <is>
          <t>Ducklings</t>
        </is>
      </c>
      <c r="D10" s="16" t="inlineStr">
        <is>
          <t>T. Mokoena</t>
        </is>
      </c>
      <c r="E10" s="17" t="n">
        <v>0.5472222222222223</v>
      </c>
      <c r="F10" s="17" t="n">
        <v>0.7166666666666667</v>
      </c>
      <c r="G10" s="18">
        <f>(F10-E10)*24</f>
        <v/>
      </c>
      <c r="H10" s="18">
        <f>MAX(G10,'Rates &amp; Settings'!$B$6)</f>
        <v/>
      </c>
      <c r="I10" s="16">
        <f>IF(F10&gt;'Rates &amp; Settings'!$B$7,"Late","")</f>
        <v/>
      </c>
      <c r="J10" s="16" t="inlineStr"/>
    </row>
    <row r="11">
      <c r="A11" s="12" t="n">
        <v>46238</v>
      </c>
      <c r="B11" s="5" t="inlineStr">
        <is>
          <t>Zanele Dlamini</t>
        </is>
      </c>
      <c r="C11" s="5" t="inlineStr">
        <is>
          <t>Foxes</t>
        </is>
      </c>
      <c r="D11" s="5" t="inlineStr">
        <is>
          <t>P. Dlamini</t>
        </is>
      </c>
      <c r="E11" s="13" t="n">
        <v>0.5701388888888889</v>
      </c>
      <c r="F11" s="13" t="n">
        <v>0.6652777777777777</v>
      </c>
      <c r="G11" s="14">
        <f>(F11-E11)*24</f>
        <v/>
      </c>
      <c r="H11" s="14">
        <f>MAX(G11,'Rates &amp; Settings'!$B$6)</f>
        <v/>
      </c>
      <c r="I11" s="5">
        <f>IF(F11&gt;'Rates &amp; Settings'!$B$7,"Late","")</f>
        <v/>
      </c>
      <c r="J11" s="5" t="inlineStr"/>
    </row>
    <row r="12">
      <c r="A12" s="15" t="n">
        <v>46238</v>
      </c>
      <c r="B12" s="16" t="inlineStr">
        <is>
          <t>Thandi Nkosi</t>
        </is>
      </c>
      <c r="C12" s="16" t="inlineStr">
        <is>
          <t>Badgers</t>
        </is>
      </c>
      <c r="D12" s="16" t="inlineStr">
        <is>
          <t>S. Nkosi</t>
        </is>
      </c>
      <c r="E12" s="17" t="n">
        <v>0.5569444444444445</v>
      </c>
      <c r="F12" s="17" t="n">
        <v>0.7361111111111112</v>
      </c>
      <c r="G12" s="18">
        <f>(F12-E12)*24</f>
        <v/>
      </c>
      <c r="H12" s="18">
        <f>MAX(G12,'Rates &amp; Settings'!$B$6)</f>
        <v/>
      </c>
      <c r="I12" s="16">
        <f>IF(F12&gt;'Rates &amp; Settings'!$B$7,"Late","")</f>
        <v/>
      </c>
      <c r="J12" s="16" t="inlineStr"/>
    </row>
    <row r="13">
      <c r="A13" s="12" t="n">
        <v>46238</v>
      </c>
      <c r="B13" s="5" t="inlineStr">
        <is>
          <t>Naledi Mahlangu</t>
        </is>
      </c>
      <c r="C13" s="5" t="inlineStr">
        <is>
          <t>Ducklings</t>
        </is>
      </c>
      <c r="D13" s="5" t="inlineStr">
        <is>
          <t>B. Mahlangu</t>
        </is>
      </c>
      <c r="E13" s="13" t="n">
        <v>0.5847222222222223</v>
      </c>
      <c r="F13" s="13" t="n">
        <v>0.6875</v>
      </c>
      <c r="G13" s="14">
        <f>(F13-E13)*24</f>
        <v/>
      </c>
      <c r="H13" s="14">
        <f>MAX(G13,'Rates &amp; Settings'!$B$6)</f>
        <v/>
      </c>
      <c r="I13" s="5">
        <f>IF(F13&gt;'Rates &amp; Settings'!$B$7,"Late","")</f>
        <v/>
      </c>
      <c r="J13" s="5" t="inlineStr"/>
    </row>
    <row r="14">
      <c r="A14" s="15" t="n">
        <v>46239</v>
      </c>
      <c r="B14" s="16" t="inlineStr">
        <is>
          <t>Amara Mokoena</t>
        </is>
      </c>
      <c r="C14" s="16" t="inlineStr">
        <is>
          <t>Ducklings</t>
        </is>
      </c>
      <c r="D14" s="16" t="inlineStr">
        <is>
          <t>T. Mokoena</t>
        </is>
      </c>
      <c r="E14" s="17" t="n">
        <v>0.54375</v>
      </c>
      <c r="F14" s="17" t="n">
        <v>0.6770833333333334</v>
      </c>
      <c r="G14" s="18">
        <f>(F14-E14)*24</f>
        <v/>
      </c>
      <c r="H14" s="18">
        <f>MAX(G14,'Rates &amp; Settings'!$B$6)</f>
        <v/>
      </c>
      <c r="I14" s="16">
        <f>IF(F14&gt;'Rates &amp; Settings'!$B$7,"Late","")</f>
        <v/>
      </c>
      <c r="J14" s="16" t="inlineStr"/>
    </row>
    <row r="15">
      <c r="A15" s="12" t="n">
        <v>46239</v>
      </c>
      <c r="B15" s="5" t="inlineStr">
        <is>
          <t>Jonah van Wyk</t>
        </is>
      </c>
      <c r="C15" s="5" t="inlineStr">
        <is>
          <t>Foxes</t>
        </is>
      </c>
      <c r="D15" s="5" t="inlineStr">
        <is>
          <t>L. van Wyk</t>
        </is>
      </c>
      <c r="E15" s="13" t="n">
        <v>0.5520833333333334</v>
      </c>
      <c r="F15" s="13" t="n">
        <v>0.7083333333333334</v>
      </c>
      <c r="G15" s="14">
        <f>(F15-E15)*24</f>
        <v/>
      </c>
      <c r="H15" s="14">
        <f>MAX(G15,'Rates &amp; Settings'!$B$6)</f>
        <v/>
      </c>
      <c r="I15" s="5">
        <f>IF(F15&gt;'Rates &amp; Settings'!$B$7,"Late","")</f>
        <v/>
      </c>
      <c r="J15" s="5" t="inlineStr"/>
    </row>
    <row r="16">
      <c r="A16" s="15" t="n">
        <v>46239</v>
      </c>
      <c r="B16" s="16" t="inlineStr">
        <is>
          <t>Ruan Pretorius</t>
        </is>
      </c>
      <c r="C16" s="16" t="inlineStr">
        <is>
          <t>Ducklings</t>
        </is>
      </c>
      <c r="D16" s="16" t="inlineStr">
        <is>
          <t>M. Pretorius</t>
        </is>
      </c>
      <c r="E16" s="17" t="n">
        <v>0.5625</v>
      </c>
      <c r="F16" s="17" t="n">
        <v>0.6979166666666666</v>
      </c>
      <c r="G16" s="18">
        <f>(F16-E16)*24</f>
        <v/>
      </c>
      <c r="H16" s="18">
        <f>MAX(G16,'Rates &amp; Settings'!$B$6)</f>
        <v/>
      </c>
      <c r="I16" s="16">
        <f>IF(F16&gt;'Rates &amp; Settings'!$B$7,"Late","")</f>
        <v/>
      </c>
      <c r="J16" s="16" t="inlineStr"/>
    </row>
    <row r="17">
      <c r="A17" s="12" t="n">
        <v>46239</v>
      </c>
      <c r="B17" s="5" t="inlineStr">
        <is>
          <t>Liam Botha</t>
        </is>
      </c>
      <c r="C17" s="5" t="inlineStr">
        <is>
          <t>Badgers</t>
        </is>
      </c>
      <c r="D17" s="5" t="inlineStr">
        <is>
          <t>K. Botha</t>
        </is>
      </c>
      <c r="E17" s="13" t="n">
        <v>0.5743055555555555</v>
      </c>
      <c r="F17" s="13" t="n">
        <v>0.7347222222222223</v>
      </c>
      <c r="G17" s="14">
        <f>(F17-E17)*24</f>
        <v/>
      </c>
      <c r="H17" s="14">
        <f>MAX(G17,'Rates &amp; Settings'!$B$6)</f>
        <v/>
      </c>
      <c r="I17" s="5">
        <f>IF(F17&gt;'Rates &amp; Settings'!$B$7,"Late","")</f>
        <v/>
      </c>
      <c r="J17" s="5" t="inlineStr"/>
    </row>
    <row r="18">
      <c r="A18" s="15" t="n">
        <v>46240</v>
      </c>
      <c r="B18" s="16" t="inlineStr">
        <is>
          <t>Thandi Nkosi</t>
        </is>
      </c>
      <c r="C18" s="16" t="inlineStr">
        <is>
          <t>Badgers</t>
        </is>
      </c>
      <c r="D18" s="16" t="inlineStr">
        <is>
          <t>S. Nkosi</t>
        </is>
      </c>
      <c r="E18" s="17" t="n">
        <v>0.5541666666666667</v>
      </c>
      <c r="F18" s="17" t="n">
        <v>0.7027777777777777</v>
      </c>
      <c r="G18" s="18">
        <f>(F18-E18)*24</f>
        <v/>
      </c>
      <c r="H18" s="18">
        <f>MAX(G18,'Rates &amp; Settings'!$B$6)</f>
        <v/>
      </c>
      <c r="I18" s="16">
        <f>IF(F18&gt;'Rates &amp; Settings'!$B$7,"Late","")</f>
        <v/>
      </c>
      <c r="J18" s="16" t="inlineStr"/>
    </row>
    <row r="19">
      <c r="A19" s="12" t="n">
        <v>46240</v>
      </c>
      <c r="B19" s="5" t="inlineStr">
        <is>
          <t>Zanele Dlamini</t>
        </is>
      </c>
      <c r="C19" s="5" t="inlineStr">
        <is>
          <t>Foxes</t>
        </is>
      </c>
      <c r="D19" s="5" t="inlineStr">
        <is>
          <t>P. Dlamini</t>
        </is>
      </c>
      <c r="E19" s="13" t="n">
        <v>0.5722222222222222</v>
      </c>
      <c r="F19" s="13" t="n">
        <v>0.6736111111111112</v>
      </c>
      <c r="G19" s="14">
        <f>(F19-E19)*24</f>
        <v/>
      </c>
      <c r="H19" s="14">
        <f>MAX(G19,'Rates &amp; Settings'!$B$6)</f>
        <v/>
      </c>
      <c r="I19" s="5">
        <f>IF(F19&gt;'Rates &amp; Settings'!$B$7,"Late","")</f>
        <v/>
      </c>
      <c r="J19" s="5" t="inlineStr"/>
    </row>
    <row r="20">
      <c r="A20" s="15" t="n">
        <v>46240</v>
      </c>
      <c r="B20" s="16" t="inlineStr">
        <is>
          <t>Naledi Mahlangu</t>
        </is>
      </c>
      <c r="C20" s="16" t="inlineStr">
        <is>
          <t>Ducklings</t>
        </is>
      </c>
      <c r="D20" s="16" t="inlineStr">
        <is>
          <t>B. Mahlangu</t>
        </is>
      </c>
      <c r="E20" s="17" t="n">
        <v>0.5826388888888889</v>
      </c>
      <c r="F20" s="17" t="n">
        <v>0.7222222222222222</v>
      </c>
      <c r="G20" s="18">
        <f>(F20-E20)*24</f>
        <v/>
      </c>
      <c r="H20" s="18">
        <f>MAX(G20,'Rates &amp; Settings'!$B$6)</f>
        <v/>
      </c>
      <c r="I20" s="16">
        <f>IF(F20&gt;'Rates &amp; Settings'!$B$7,"Late","")</f>
        <v/>
      </c>
      <c r="J20" s="16" t="inlineStr"/>
    </row>
    <row r="21">
      <c r="A21" s="12" t="n">
        <v>46240</v>
      </c>
      <c r="B21" s="5" t="inlineStr">
        <is>
          <t>Amara Mokoena</t>
        </is>
      </c>
      <c r="C21" s="5" t="inlineStr">
        <is>
          <t>Ducklings</t>
        </is>
      </c>
      <c r="D21" s="5" t="inlineStr">
        <is>
          <t>T. Mokoena</t>
        </is>
      </c>
      <c r="E21" s="13" t="n">
        <v>0.5458333333333333</v>
      </c>
      <c r="F21" s="13" t="n">
        <v>0.7</v>
      </c>
      <c r="G21" s="14">
        <f>(F21-E21)*24</f>
        <v/>
      </c>
      <c r="H21" s="14">
        <f>MAX(G21,'Rates &amp; Settings'!$B$6)</f>
        <v/>
      </c>
      <c r="I21" s="5">
        <f>IF(F21&gt;'Rates &amp; Settings'!$B$7,"Late","")</f>
        <v/>
      </c>
      <c r="J21" s="5" t="inlineStr"/>
    </row>
    <row r="22">
      <c r="A22" s="15" t="n">
        <v>46241</v>
      </c>
      <c r="B22" s="16" t="inlineStr">
        <is>
          <t>Jonah van Wyk</t>
        </is>
      </c>
      <c r="C22" s="16" t="inlineStr">
        <is>
          <t>Foxes</t>
        </is>
      </c>
      <c r="D22" s="16" t="inlineStr">
        <is>
          <t>L. van Wyk</t>
        </is>
      </c>
      <c r="E22" s="17" t="n">
        <v>0.5486111111111112</v>
      </c>
      <c r="F22" s="17" t="n">
        <v>0.6909722222222222</v>
      </c>
      <c r="G22" s="18">
        <f>(F22-E22)*24</f>
        <v/>
      </c>
      <c r="H22" s="18">
        <f>MAX(G22,'Rates &amp; Settings'!$B$6)</f>
        <v/>
      </c>
      <c r="I22" s="16">
        <f>IF(F22&gt;'Rates &amp; Settings'!$B$7,"Late","")</f>
        <v/>
      </c>
      <c r="J22" s="16" t="inlineStr"/>
    </row>
    <row r="23">
      <c r="A23" s="12" t="n">
        <v>46241</v>
      </c>
      <c r="B23" s="5" t="inlineStr">
        <is>
          <t>Ruan Pretorius</t>
        </is>
      </c>
      <c r="C23" s="5" t="inlineStr">
        <is>
          <t>Ducklings</t>
        </is>
      </c>
      <c r="D23" s="5" t="inlineStr">
        <is>
          <t>M. Pretorius</t>
        </is>
      </c>
      <c r="E23" s="13" t="n">
        <v>0.5666666666666667</v>
      </c>
      <c r="F23" s="13" t="n">
        <v>0.7104166666666667</v>
      </c>
      <c r="G23" s="14">
        <f>(F23-E23)*24</f>
        <v/>
      </c>
      <c r="H23" s="14">
        <f>MAX(G23,'Rates &amp; Settings'!$B$6)</f>
        <v/>
      </c>
      <c r="I23" s="5">
        <f>IF(F23&gt;'Rates &amp; Settings'!$B$7,"Late","")</f>
        <v/>
      </c>
      <c r="J23" s="5" t="inlineStr"/>
    </row>
    <row r="24">
      <c r="A24" s="15" t="n">
        <v>46241</v>
      </c>
      <c r="B24" s="16" t="inlineStr">
        <is>
          <t>Liam Botha</t>
        </is>
      </c>
      <c r="C24" s="16" t="inlineStr">
        <is>
          <t>Badgers</t>
        </is>
      </c>
      <c r="D24" s="16" t="inlineStr">
        <is>
          <t>K. Botha</t>
        </is>
      </c>
      <c r="E24" s="17" t="n">
        <v>0.5777777777777777</v>
      </c>
      <c r="F24" s="17" t="n">
        <v>0.6805555555555556</v>
      </c>
      <c r="G24" s="18">
        <f>(F24-E24)*24</f>
        <v/>
      </c>
      <c r="H24" s="18">
        <f>MAX(G24,'Rates &amp; Settings'!$B$6)</f>
        <v/>
      </c>
      <c r="I24" s="16">
        <f>IF(F24&gt;'Rates &amp; Settings'!$B$7,"Late","")</f>
        <v/>
      </c>
      <c r="J24" s="16" t="inlineStr"/>
    </row>
    <row r="25">
      <c r="A25" s="5" t="n"/>
      <c r="B25" s="5" t="n"/>
      <c r="C25" s="5" t="n"/>
      <c r="D25" s="5" t="n"/>
      <c r="E25" s="5" t="n"/>
      <c r="F25" s="5" t="n"/>
      <c r="G25" s="14">
        <f>IF(AND(E25&lt;&gt;"",F25&lt;&gt;""),(F25-E25)*24,"")</f>
        <v/>
      </c>
      <c r="H25" s="14">
        <f>IF(G25="","",MAX(G25,'Rates &amp; Settings'!$B$6))</f>
        <v/>
      </c>
      <c r="I25" s="5">
        <f>IF(F25="","",IF(F25&gt;'Rates &amp; Settings'!$B$7,"Late",""))</f>
        <v/>
      </c>
      <c r="J25" s="5" t="n"/>
    </row>
    <row r="26">
      <c r="A26" s="5" t="n"/>
      <c r="B26" s="5" t="n"/>
      <c r="C26" s="5" t="n"/>
      <c r="D26" s="5" t="n"/>
      <c r="E26" s="5" t="n"/>
      <c r="F26" s="5" t="n"/>
      <c r="G26" s="14">
        <f>IF(AND(E26&lt;&gt;"",F26&lt;&gt;""),(F26-E26)*24,"")</f>
        <v/>
      </c>
      <c r="H26" s="14">
        <f>IF(G26="","",MAX(G26,'Rates &amp; Settings'!$B$6))</f>
        <v/>
      </c>
      <c r="I26" s="5">
        <f>IF(F26="","",IF(F26&gt;'Rates &amp; Settings'!$B$7,"Late",""))</f>
        <v/>
      </c>
      <c r="J26" s="5" t="n"/>
    </row>
    <row r="27">
      <c r="A27" s="5" t="n"/>
      <c r="B27" s="5" t="n"/>
      <c r="C27" s="5" t="n"/>
      <c r="D27" s="5" t="n"/>
      <c r="E27" s="5" t="n"/>
      <c r="F27" s="5" t="n"/>
      <c r="G27" s="14">
        <f>IF(AND(E27&lt;&gt;"",F27&lt;&gt;""),(F27-E27)*24,"")</f>
        <v/>
      </c>
      <c r="H27" s="14">
        <f>IF(G27="","",MAX(G27,'Rates &amp; Settings'!$B$6))</f>
        <v/>
      </c>
      <c r="I27" s="5">
        <f>IF(F27="","",IF(F27&gt;'Rates &amp; Settings'!$B$7,"Late",""))</f>
        <v/>
      </c>
      <c r="J27" s="5" t="n"/>
    </row>
    <row r="28">
      <c r="A28" s="5" t="n"/>
      <c r="B28" s="5" t="n"/>
      <c r="C28" s="5" t="n"/>
      <c r="D28" s="5" t="n"/>
      <c r="E28" s="5" t="n"/>
      <c r="F28" s="5" t="n"/>
      <c r="G28" s="14">
        <f>IF(AND(E28&lt;&gt;"",F28&lt;&gt;""),(F28-E28)*24,"")</f>
        <v/>
      </c>
      <c r="H28" s="14">
        <f>IF(G28="","",MAX(G28,'Rates &amp; Settings'!$B$6))</f>
        <v/>
      </c>
      <c r="I28" s="5">
        <f>IF(F28="","",IF(F28&gt;'Rates &amp; Settings'!$B$7,"Late",""))</f>
        <v/>
      </c>
      <c r="J28" s="5" t="n"/>
    </row>
    <row r="29">
      <c r="A29" s="5" t="n"/>
      <c r="B29" s="5" t="n"/>
      <c r="C29" s="5" t="n"/>
      <c r="D29" s="5" t="n"/>
      <c r="E29" s="5" t="n"/>
      <c r="F29" s="5" t="n"/>
      <c r="G29" s="14">
        <f>IF(AND(E29&lt;&gt;"",F29&lt;&gt;""),(F29-E29)*24,"")</f>
        <v/>
      </c>
      <c r="H29" s="14">
        <f>IF(G29="","",MAX(G29,'Rates &amp; Settings'!$B$6))</f>
        <v/>
      </c>
      <c r="I29" s="5">
        <f>IF(F29="","",IF(F29&gt;'Rates &amp; Settings'!$B$7,"Late",""))</f>
        <v/>
      </c>
      <c r="J29" s="5" t="n"/>
    </row>
    <row r="30">
      <c r="A30" s="5" t="n"/>
      <c r="B30" s="5" t="n"/>
      <c r="C30" s="5" t="n"/>
      <c r="D30" s="5" t="n"/>
      <c r="E30" s="5" t="n"/>
      <c r="F30" s="5" t="n"/>
      <c r="G30" s="14">
        <f>IF(AND(E30&lt;&gt;"",F30&lt;&gt;""),(F30-E30)*24,"")</f>
        <v/>
      </c>
      <c r="H30" s="14">
        <f>IF(G30="","",MAX(G30,'Rates &amp; Settings'!$B$6))</f>
        <v/>
      </c>
      <c r="I30" s="5">
        <f>IF(F30="","",IF(F30&gt;'Rates &amp; Settings'!$B$7,"Late",""))</f>
        <v/>
      </c>
      <c r="J30" s="5" t="n"/>
    </row>
    <row r="31">
      <c r="A31" s="5" t="n"/>
      <c r="B31" s="5" t="n"/>
      <c r="C31" s="5" t="n"/>
      <c r="D31" s="5" t="n"/>
      <c r="E31" s="5" t="n"/>
      <c r="F31" s="5" t="n"/>
      <c r="G31" s="14">
        <f>IF(AND(E31&lt;&gt;"",F31&lt;&gt;""),(F31-E31)*24,"")</f>
        <v/>
      </c>
      <c r="H31" s="14">
        <f>IF(G31="","",MAX(G31,'Rates &amp; Settings'!$B$6))</f>
        <v/>
      </c>
      <c r="I31" s="5">
        <f>IF(F31="","",IF(F31&gt;'Rates &amp; Settings'!$B$7,"Late",""))</f>
        <v/>
      </c>
      <c r="J31" s="5" t="n"/>
    </row>
    <row r="32">
      <c r="A32" s="5" t="n"/>
      <c r="B32" s="5" t="n"/>
      <c r="C32" s="5" t="n"/>
      <c r="D32" s="5" t="n"/>
      <c r="E32" s="5" t="n"/>
      <c r="F32" s="5" t="n"/>
      <c r="G32" s="14">
        <f>IF(AND(E32&lt;&gt;"",F32&lt;&gt;""),(F32-E32)*24,"")</f>
        <v/>
      </c>
      <c r="H32" s="14">
        <f>IF(G32="","",MAX(G32,'Rates &amp; Settings'!$B$6))</f>
        <v/>
      </c>
      <c r="I32" s="5">
        <f>IF(F32="","",IF(F32&gt;'Rates &amp; Settings'!$B$7,"Late",""))</f>
        <v/>
      </c>
      <c r="J32" s="5" t="n"/>
    </row>
  </sheetData>
  <mergeCells count="2">
    <mergeCell ref="A1:J1"/>
    <mergeCell ref="A2:J2"/>
  </mergeCells>
  <conditionalFormatting sqref="I5:I24">
    <cfRule type="cellIs" priority="1" operator="equal" dxfId="0">
      <formula>"Late"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4" customWidth="1" min="4" max="4"/>
    <col width="16" customWidth="1" min="5" max="5"/>
    <col width="13" customWidth="1" min="6" max="6"/>
    <col width="14" customWidth="1" min="7" max="7"/>
    <col width="13" customWidth="1" min="8" max="8"/>
    <col width="14" customWidth="1" min="9" max="9"/>
  </cols>
  <sheetData>
    <row r="1">
      <c r="A1" s="1" t="inlineStr">
        <is>
          <t>Billing Summary</t>
        </is>
      </c>
    </row>
    <row r="2">
      <c r="A2" s="2" t="inlineStr">
        <is>
          <t>Totals per child for the period set on Rates &amp; Settings. Pulls automatically from Daily Log — add children to the list below as they join the roster.</t>
        </is>
      </c>
    </row>
    <row r="4">
      <c r="A4" s="11" t="inlineStr">
        <is>
          <t>Child Name</t>
        </is>
      </c>
      <c r="B4" s="11" t="inlineStr">
        <is>
          <t>Parent / Guardian</t>
        </is>
      </c>
      <c r="C4" s="11" t="inlineStr">
        <is>
          <t>Group</t>
        </is>
      </c>
      <c r="D4" s="11" t="inlineStr">
        <is>
          <t>Days Attended</t>
        </is>
      </c>
      <c r="E4" s="11" t="inlineStr">
        <is>
          <t>Total Billed Hours</t>
        </is>
      </c>
      <c r="F4" s="11" t="inlineStr">
        <is>
          <t>Late Pickups</t>
        </is>
      </c>
      <c r="G4" s="11" t="inlineStr">
        <is>
          <t>Base Charge</t>
        </is>
      </c>
      <c r="H4" s="11" t="inlineStr">
        <is>
          <t>Late Fees</t>
        </is>
      </c>
      <c r="I4" s="11" t="inlineStr">
        <is>
          <t>Total Due</t>
        </is>
      </c>
    </row>
    <row r="5">
      <c r="A5" s="5" t="inlineStr">
        <is>
          <t>Amara Mokoena</t>
        </is>
      </c>
      <c r="B5" s="5" t="inlineStr">
        <is>
          <t>T. Mokoena</t>
        </is>
      </c>
      <c r="C5" s="5" t="inlineStr">
        <is>
          <t>Ducklings</t>
        </is>
      </c>
      <c r="D5" s="5">
        <f>COUNTIFS('Daily Log'!$B$5:$B$32,A5,'Daily Log'!$A$5:$A$32,"&gt;="&amp;'Rates &amp; Settings'!$B$12,'Daily Log'!$A$5:$A$32,"&lt;="&amp;'Rates &amp; Settings'!$B$13)</f>
        <v/>
      </c>
      <c r="E5" s="14">
        <f>SUMIFS('Daily Log'!$H$5:$H$32,'Daily Log'!$B$5:$B$32,A5,'Daily Log'!$A$5:$A$32,"&gt;="&amp;'Rates &amp; Settings'!$B$12,'Daily Log'!$A$5:$A$32,"&lt;="&amp;'Rates &amp; Settings'!$B$13)</f>
        <v/>
      </c>
      <c r="F5" s="5">
        <f>COUNTIFS('Daily Log'!$B$5:$B$32,A5,'Daily Log'!$I$5:$I$32,"Late",'Daily Log'!$A$5:$A$32,"&gt;="&amp;'Rates &amp; Settings'!$B$12,'Daily Log'!$A$5:$A$32,"&lt;="&amp;'Rates &amp; Settings'!$B$13)</f>
        <v/>
      </c>
      <c r="G5" s="19">
        <f>E5*'Rates &amp; Settings'!$B$5</f>
        <v/>
      </c>
      <c r="H5" s="19">
        <f>F5*4*'Rates &amp; Settings'!$B$8</f>
        <v/>
      </c>
      <c r="I5" s="19">
        <f>G5+H5</f>
        <v/>
      </c>
    </row>
    <row r="6">
      <c r="A6" s="16" t="inlineStr">
        <is>
          <t>Jonah van Wyk</t>
        </is>
      </c>
      <c r="B6" s="16" t="inlineStr">
        <is>
          <t>L. van Wyk</t>
        </is>
      </c>
      <c r="C6" s="16" t="inlineStr">
        <is>
          <t>Foxes</t>
        </is>
      </c>
      <c r="D6" s="16">
        <f>COUNTIFS('Daily Log'!$B$5:$B$32,A6,'Daily Log'!$A$5:$A$32,"&gt;="&amp;'Rates &amp; Settings'!$B$12,'Daily Log'!$A$5:$A$32,"&lt;="&amp;'Rates &amp; Settings'!$B$13)</f>
        <v/>
      </c>
      <c r="E6" s="18">
        <f>SUMIFS('Daily Log'!$H$5:$H$32,'Daily Log'!$B$5:$B$32,A6,'Daily Log'!$A$5:$A$32,"&gt;="&amp;'Rates &amp; Settings'!$B$12,'Daily Log'!$A$5:$A$32,"&lt;="&amp;'Rates &amp; Settings'!$B$13)</f>
        <v/>
      </c>
      <c r="F6" s="16">
        <f>COUNTIFS('Daily Log'!$B$5:$B$32,A6,'Daily Log'!$I$5:$I$32,"Late",'Daily Log'!$A$5:$A$32,"&gt;="&amp;'Rates &amp; Settings'!$B$12,'Daily Log'!$A$5:$A$32,"&lt;="&amp;'Rates &amp; Settings'!$B$13)</f>
        <v/>
      </c>
      <c r="G6" s="20">
        <f>E6*'Rates &amp; Settings'!$B$5</f>
        <v/>
      </c>
      <c r="H6" s="20">
        <f>F6*4*'Rates &amp; Settings'!$B$8</f>
        <v/>
      </c>
      <c r="I6" s="20">
        <f>G6+H6</f>
        <v/>
      </c>
    </row>
    <row r="7">
      <c r="A7" s="5" t="inlineStr">
        <is>
          <t>Thandi Nkosi</t>
        </is>
      </c>
      <c r="B7" s="5" t="inlineStr">
        <is>
          <t>S. Nkosi</t>
        </is>
      </c>
      <c r="C7" s="5" t="inlineStr">
        <is>
          <t>Badgers</t>
        </is>
      </c>
      <c r="D7" s="5">
        <f>COUNTIFS('Daily Log'!$B$5:$B$32,A7,'Daily Log'!$A$5:$A$32,"&gt;="&amp;'Rates &amp; Settings'!$B$12,'Daily Log'!$A$5:$A$32,"&lt;="&amp;'Rates &amp; Settings'!$B$13)</f>
        <v/>
      </c>
      <c r="E7" s="14">
        <f>SUMIFS('Daily Log'!$H$5:$H$32,'Daily Log'!$B$5:$B$32,A7,'Daily Log'!$A$5:$A$32,"&gt;="&amp;'Rates &amp; Settings'!$B$12,'Daily Log'!$A$5:$A$32,"&lt;="&amp;'Rates &amp; Settings'!$B$13)</f>
        <v/>
      </c>
      <c r="F7" s="5">
        <f>COUNTIFS('Daily Log'!$B$5:$B$32,A7,'Daily Log'!$I$5:$I$32,"Late",'Daily Log'!$A$5:$A$32,"&gt;="&amp;'Rates &amp; Settings'!$B$12,'Daily Log'!$A$5:$A$32,"&lt;="&amp;'Rates &amp; Settings'!$B$13)</f>
        <v/>
      </c>
      <c r="G7" s="19">
        <f>E7*'Rates &amp; Settings'!$B$5</f>
        <v/>
      </c>
      <c r="H7" s="19">
        <f>F7*4*'Rates &amp; Settings'!$B$8</f>
        <v/>
      </c>
      <c r="I7" s="19">
        <f>G7+H7</f>
        <v/>
      </c>
    </row>
    <row r="8">
      <c r="A8" s="16" t="inlineStr">
        <is>
          <t>Ruan Pretorius</t>
        </is>
      </c>
      <c r="B8" s="16" t="inlineStr">
        <is>
          <t>M. Pretorius</t>
        </is>
      </c>
      <c r="C8" s="16" t="inlineStr">
        <is>
          <t>Ducklings</t>
        </is>
      </c>
      <c r="D8" s="16">
        <f>COUNTIFS('Daily Log'!$B$5:$B$32,A8,'Daily Log'!$A$5:$A$32,"&gt;="&amp;'Rates &amp; Settings'!$B$12,'Daily Log'!$A$5:$A$32,"&lt;="&amp;'Rates &amp; Settings'!$B$13)</f>
        <v/>
      </c>
      <c r="E8" s="18">
        <f>SUMIFS('Daily Log'!$H$5:$H$32,'Daily Log'!$B$5:$B$32,A8,'Daily Log'!$A$5:$A$32,"&gt;="&amp;'Rates &amp; Settings'!$B$12,'Daily Log'!$A$5:$A$32,"&lt;="&amp;'Rates &amp; Settings'!$B$13)</f>
        <v/>
      </c>
      <c r="F8" s="16">
        <f>COUNTIFS('Daily Log'!$B$5:$B$32,A8,'Daily Log'!$I$5:$I$32,"Late",'Daily Log'!$A$5:$A$32,"&gt;="&amp;'Rates &amp; Settings'!$B$12,'Daily Log'!$A$5:$A$32,"&lt;="&amp;'Rates &amp; Settings'!$B$13)</f>
        <v/>
      </c>
      <c r="G8" s="20">
        <f>E8*'Rates &amp; Settings'!$B$5</f>
        <v/>
      </c>
      <c r="H8" s="20">
        <f>F8*4*'Rates &amp; Settings'!$B$8</f>
        <v/>
      </c>
      <c r="I8" s="20">
        <f>G8+H8</f>
        <v/>
      </c>
    </row>
    <row r="9">
      <c r="A9" s="5" t="inlineStr">
        <is>
          <t>Zanele Dlamini</t>
        </is>
      </c>
      <c r="B9" s="5" t="inlineStr">
        <is>
          <t>P. Dlamini</t>
        </is>
      </c>
      <c r="C9" s="5" t="inlineStr">
        <is>
          <t>Foxes</t>
        </is>
      </c>
      <c r="D9" s="5">
        <f>COUNTIFS('Daily Log'!$B$5:$B$32,A9,'Daily Log'!$A$5:$A$32,"&gt;="&amp;'Rates &amp; Settings'!$B$12,'Daily Log'!$A$5:$A$32,"&lt;="&amp;'Rates &amp; Settings'!$B$13)</f>
        <v/>
      </c>
      <c r="E9" s="14">
        <f>SUMIFS('Daily Log'!$H$5:$H$32,'Daily Log'!$B$5:$B$32,A9,'Daily Log'!$A$5:$A$32,"&gt;="&amp;'Rates &amp; Settings'!$B$12,'Daily Log'!$A$5:$A$32,"&lt;="&amp;'Rates &amp; Settings'!$B$13)</f>
        <v/>
      </c>
      <c r="F9" s="5">
        <f>COUNTIFS('Daily Log'!$B$5:$B$32,A9,'Daily Log'!$I$5:$I$32,"Late",'Daily Log'!$A$5:$A$32,"&gt;="&amp;'Rates &amp; Settings'!$B$12,'Daily Log'!$A$5:$A$32,"&lt;="&amp;'Rates &amp; Settings'!$B$13)</f>
        <v/>
      </c>
      <c r="G9" s="19">
        <f>E9*'Rates &amp; Settings'!$B$5</f>
        <v/>
      </c>
      <c r="H9" s="19">
        <f>F9*4*'Rates &amp; Settings'!$B$8</f>
        <v/>
      </c>
      <c r="I9" s="19">
        <f>G9+H9</f>
        <v/>
      </c>
    </row>
    <row r="10">
      <c r="A10" s="16" t="inlineStr">
        <is>
          <t>Liam Botha</t>
        </is>
      </c>
      <c r="B10" s="16" t="inlineStr">
        <is>
          <t>K. Botha</t>
        </is>
      </c>
      <c r="C10" s="16" t="inlineStr">
        <is>
          <t>Badgers</t>
        </is>
      </c>
      <c r="D10" s="16">
        <f>COUNTIFS('Daily Log'!$B$5:$B$32,A10,'Daily Log'!$A$5:$A$32,"&gt;="&amp;'Rates &amp; Settings'!$B$12,'Daily Log'!$A$5:$A$32,"&lt;="&amp;'Rates &amp; Settings'!$B$13)</f>
        <v/>
      </c>
      <c r="E10" s="18">
        <f>SUMIFS('Daily Log'!$H$5:$H$32,'Daily Log'!$B$5:$B$32,A10,'Daily Log'!$A$5:$A$32,"&gt;="&amp;'Rates &amp; Settings'!$B$12,'Daily Log'!$A$5:$A$32,"&lt;="&amp;'Rates &amp; Settings'!$B$13)</f>
        <v/>
      </c>
      <c r="F10" s="16">
        <f>COUNTIFS('Daily Log'!$B$5:$B$32,A10,'Daily Log'!$I$5:$I$32,"Late",'Daily Log'!$A$5:$A$32,"&gt;="&amp;'Rates &amp; Settings'!$B$12,'Daily Log'!$A$5:$A$32,"&lt;="&amp;'Rates &amp; Settings'!$B$13)</f>
        <v/>
      </c>
      <c r="G10" s="20">
        <f>E10*'Rates &amp; Settings'!$B$5</f>
        <v/>
      </c>
      <c r="H10" s="20">
        <f>F10*4*'Rates &amp; Settings'!$B$8</f>
        <v/>
      </c>
      <c r="I10" s="20">
        <f>G10+H10</f>
        <v/>
      </c>
    </row>
    <row r="11">
      <c r="A11" s="5" t="inlineStr">
        <is>
          <t>Naledi Mahlangu</t>
        </is>
      </c>
      <c r="B11" s="5" t="inlineStr">
        <is>
          <t>B. Mahlangu</t>
        </is>
      </c>
      <c r="C11" s="5" t="inlineStr">
        <is>
          <t>Ducklings</t>
        </is>
      </c>
      <c r="D11" s="5">
        <f>COUNTIFS('Daily Log'!$B$5:$B$32,A11,'Daily Log'!$A$5:$A$32,"&gt;="&amp;'Rates &amp; Settings'!$B$12,'Daily Log'!$A$5:$A$32,"&lt;="&amp;'Rates &amp; Settings'!$B$13)</f>
        <v/>
      </c>
      <c r="E11" s="14">
        <f>SUMIFS('Daily Log'!$H$5:$H$32,'Daily Log'!$B$5:$B$32,A11,'Daily Log'!$A$5:$A$32,"&gt;="&amp;'Rates &amp; Settings'!$B$12,'Daily Log'!$A$5:$A$32,"&lt;="&amp;'Rates &amp; Settings'!$B$13)</f>
        <v/>
      </c>
      <c r="F11" s="5">
        <f>COUNTIFS('Daily Log'!$B$5:$B$32,A11,'Daily Log'!$I$5:$I$32,"Late",'Daily Log'!$A$5:$A$32,"&gt;="&amp;'Rates &amp; Settings'!$B$12,'Daily Log'!$A$5:$A$32,"&lt;="&amp;'Rates &amp; Settings'!$B$13)</f>
        <v/>
      </c>
      <c r="G11" s="19">
        <f>E11*'Rates &amp; Settings'!$B$5</f>
        <v/>
      </c>
      <c r="H11" s="19">
        <f>F11*4*'Rates &amp; Settings'!$B$8</f>
        <v/>
      </c>
      <c r="I11" s="19">
        <f>G11+H11</f>
        <v/>
      </c>
    </row>
    <row r="12">
      <c r="A12" s="21" t="inlineStr">
        <is>
          <t>Total</t>
        </is>
      </c>
      <c r="B12" s="22" t="n"/>
      <c r="C12" s="22" t="n"/>
      <c r="D12" s="22" t="n"/>
      <c r="E12" s="23">
        <f>SUM(E5:E11)</f>
        <v/>
      </c>
      <c r="F12" s="22" t="n"/>
      <c r="G12" s="24">
        <f>SUM(G5:G11)</f>
        <v/>
      </c>
      <c r="H12" s="24">
        <f>SUM(H5:H11)</f>
        <v/>
      </c>
      <c r="I12" s="24">
        <f>SUM(I5:I11)</f>
        <v/>
      </c>
    </row>
    <row r="14">
      <c r="A14" s="25" t="inlineStr">
        <is>
          <t>Late fee = late pickups x 4 blocks x per-block fee (placeholder: assumes a flat 1-hour average lateness). Adjust column H's formula per child if you track exact minutes late.</t>
        </is>
      </c>
    </row>
  </sheetData>
  <mergeCells count="4">
    <mergeCell ref="A1:I1"/>
    <mergeCell ref="A12:D12"/>
    <mergeCell ref="A14:I1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4" customWidth="1" min="6" max="6"/>
    <col width="14" customWidth="1" min="7" max="7"/>
  </cols>
  <sheetData>
    <row r="1">
      <c r="A1" s="26" t="inlineStr">
        <is>
          <t>Howick Pre-Primary School</t>
        </is>
      </c>
      <c r="F1" s="27" t="inlineStr">
        <is>
          <t>Invoice period</t>
        </is>
      </c>
      <c r="G1" s="28">
        <f>'Rates &amp; Settings'!$B$12</f>
        <v/>
      </c>
    </row>
    <row r="2">
      <c r="A2" s="29" t="inlineStr">
        <is>
          <t>Aftercare Invoice</t>
        </is>
      </c>
      <c r="F2" s="27" t="inlineStr">
        <is>
          <t>to</t>
        </is>
      </c>
      <c r="G2" s="28">
        <f>'Rates &amp; Settings'!$B$13</f>
        <v/>
      </c>
    </row>
    <row r="4">
      <c r="A4" s="27" t="inlineStr">
        <is>
          <t>Bill to child</t>
        </is>
      </c>
      <c r="B4" s="30" t="inlineStr">
        <is>
          <t>Amara Mokoena</t>
        </is>
      </c>
    </row>
    <row r="5">
      <c r="A5" s="27" t="inlineStr">
        <is>
          <t>Parent / Guardian</t>
        </is>
      </c>
      <c r="B5" s="31">
        <f>INDEX('Billing Summary'!$B$5:$B$11,MATCH($B$4,'Billing Summary'!$A$5:$A$11,0))</f>
        <v/>
      </c>
    </row>
    <row r="6">
      <c r="A6" s="27" t="inlineStr">
        <is>
          <t>Group</t>
        </is>
      </c>
      <c r="B6" s="31">
        <f>INDEX('Billing Summary'!$C$5:$C$11,MATCH($B$4,'Billing Summary'!$A$5:$A$11,0))</f>
        <v/>
      </c>
    </row>
    <row r="9">
      <c r="A9" s="11" t="inlineStr">
        <is>
          <t>Description</t>
        </is>
      </c>
      <c r="B9" s="11" t="inlineStr">
        <is>
          <t>Qty</t>
        </is>
      </c>
      <c r="C9" s="11" t="inlineStr">
        <is>
          <t>Rate</t>
        </is>
      </c>
      <c r="D9" s="11" t="inlineStr">
        <is>
          <t>Amount</t>
        </is>
      </c>
    </row>
    <row r="10">
      <c r="A10" s="5" t="inlineStr">
        <is>
          <t>Aftercare attendance (billed hours)</t>
        </is>
      </c>
      <c r="B10" s="14">
        <f>INDEX('Billing Summary'!$E$5:$E$11,MATCH($B$4,'Billing Summary'!$A$5:$A$11,0))</f>
        <v/>
      </c>
      <c r="C10" s="19">
        <f>'Rates &amp; Settings'!$B$5</f>
        <v/>
      </c>
      <c r="D10" s="19">
        <f>B10*C10</f>
        <v/>
      </c>
    </row>
    <row r="11">
      <c r="A11" s="5" t="inlineStr">
        <is>
          <t>Late collection fee</t>
        </is>
      </c>
      <c r="B11" s="5">
        <f>INDEX('Billing Summary'!$F$5:$F$11,MATCH($B$4,'Billing Summary'!$A$5:$A$11,0))</f>
        <v/>
      </c>
      <c r="C11" s="19">
        <f>4*'Rates &amp; Settings'!$B$8</f>
        <v/>
      </c>
      <c r="D11" s="19">
        <f>B11*C11</f>
        <v/>
      </c>
    </row>
    <row r="13">
      <c r="C13" s="32" t="inlineStr">
        <is>
          <t>Total due</t>
        </is>
      </c>
      <c r="D13" s="33">
        <f>D10+D11</f>
        <v/>
      </c>
    </row>
    <row r="15">
      <c r="A15" s="25" t="inlineStr">
        <is>
          <t>Change the child in B4 to any name listed on Billing Summary to generate their invoice. Values are pulled live — nothing here is retyped by hand.</t>
        </is>
      </c>
    </row>
  </sheetData>
  <mergeCells count="7">
    <mergeCell ref="A1:D1"/>
    <mergeCell ref="B5:D5"/>
    <mergeCell ref="A9"/>
    <mergeCell ref="B4:D4"/>
    <mergeCell ref="A15:D15"/>
    <mergeCell ref="A2:D2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2026-08-09T12:28:25Z</dcterms:created>
  <dcterms:modified xsi:type="dcterms:W3CDTF">2026-08-09T12:28:25Z</dcterms:modified>
</cp:coreProperties>
</file>